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el" sheetId="1" r:id="rId4"/>
    <sheet state="visible" name="Annotations" sheetId="2" r:id="rId5"/>
  </sheets>
  <definedNames/>
  <calcPr/>
</workbook>
</file>

<file path=xl/sharedStrings.xml><?xml version="1.0" encoding="utf-8"?>
<sst xmlns="http://schemas.openxmlformats.org/spreadsheetml/2006/main" count="40" uniqueCount="37">
  <si>
    <t>Années </t>
  </si>
  <si>
    <t>Agriculture, forêt et pêche </t>
  </si>
  <si>
    <t>Industrie (y compris bâtiment) </t>
  </si>
  <si>
    <t>Services 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</si>
  <si>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</si>
  <si>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</si>
  <si>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</si>
  <si>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</si>
  <si>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</si>
  <si>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</si>
  <si>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</si>
  <si>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</si>
  <si>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</si>
  <si>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</si>
  <si>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</si>
  <si>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</si>
  <si>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</si>
  <si>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</si>
  <si>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</si>
  <si>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</si>
  <si>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</si>
  <si>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</si>
  <si>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</si>
  <si>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</si>
  <si>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</si>
  <si>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</si>
  <si>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</si>
  <si>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</si>
  <si>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</si>
  <si>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</si>
  <si>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</si>
  <si>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 xml:space="preserve">Source : Enquête nationale sur l'emploi, Haut Commissariat au Plan. </t>
  </si>
  <si>
    <t>Trimestres</t>
  </si>
  <si>
    <t>Agriculture, forêt et pêche</t>
  </si>
  <si>
    <t>Industrie (y compris bâtiment)</t>
  </si>
  <si>
    <t>Services</t>
  </si>
  <si>
    <t>Années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</si>
</sst>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</font>
    <font/>
    <font>
      <b/>
      <sz val="8.0"/>
      <color rgb="FFD2691E"/>
      <name val="Tahoma"/>
    </font>
    <font>
      <b/>
      <sz val="8.0"/>
      <color rgb="FF808080"/>
      <name val="Tahoma"/>
    </font>
    <font>
      <sz val="8.0"/>
      <color rgb="FF000000"/>
      <name val="Tahoma"/>
    </font>
    <font>
      <b/>
      <sz val="8.0"/>
      <color rgb="FF000000"/>
      <name val="Tahoma"/>
    </font>
    <font>
      <b/>
      <sz val="8.0"/>
      <color rgb="FF000000"/>
      <name val="Verdana"/>
    </font>
    <font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FF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3" numFmtId="49" xfId="0" applyAlignment="1" applyFill="1" applyFont="1" applyNumberFormat="1">
      <alignment horizontal="center" shrinkToFit="0" vertical="bottom" wrapText="1"/>
    </xf>
    <xf borderId="1" fillId="2" fontId="3" numFmtId="49" xfId="0" applyAlignment="1" applyBorder="1" applyFont="1" applyNumberFormat="1">
      <alignment horizontal="center" readingOrder="0" shrinkToFit="0" vertical="bottom" wrapText="1"/>
    </xf>
    <xf borderId="2" fillId="0" fontId="4" numFmtId="164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shrinkToFit="0" wrapText="1"/>
    </xf>
    <xf borderId="1" fillId="2" fontId="3" numFmtId="49" xfId="0" applyAlignment="1" applyBorder="1" applyFont="1" applyNumberFormat="1">
      <alignment horizontal="center" shrinkToFit="0" vertical="bottom" wrapText="1"/>
    </xf>
    <xf borderId="2" fillId="0" fontId="4" numFmtId="164" xfId="0" applyAlignment="1" applyBorder="1" applyFont="1" applyNumberFormat="1">
      <alignment horizontal="center" shrinkToFit="0" vertical="bottom" wrapText="0"/>
    </xf>
    <xf borderId="3" fillId="2" fontId="3" numFmtId="49" xfId="0" applyAlignment="1" applyBorder="1" applyFont="1" applyNumberFormat="1">
      <alignment horizontal="center" shrinkToFit="0" vertical="bottom" wrapText="1"/>
    </xf>
    <xf borderId="4" fillId="0" fontId="4" numFmtId="164" xfId="0" applyAlignment="1" applyBorder="1" applyFont="1" applyNumberForma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center" wrapText="1"/>
    </xf>
    <xf borderId="5" fillId="0" fontId="5" numFmtId="49" xfId="0" applyAlignment="1" applyBorder="1" applyFont="1" applyNumberFormat="1">
      <alignment horizontal="center" readingOrder="0" shrinkToFit="0" vertical="center" wrapText="1"/>
    </xf>
    <xf borderId="6" fillId="0" fontId="1" numFmtId="0" xfId="0" applyBorder="1" applyFont="1"/>
    <xf borderId="4" fillId="0" fontId="1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8" fillId="0" fontId="8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Annuel!$C$21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Annuel!$B$22:$B$48</c:f>
            </c:strRef>
          </c:cat>
          <c:val>
            <c:numRef>
              <c:f>Annuel!$C$22:$C$48</c:f>
              <c:numCache/>
            </c:numRef>
          </c:val>
          <c:smooth val="0"/>
        </c:ser>
        <c:ser>
          <c:idx val="1"/>
          <c:order val="1"/>
          <c:tx>
            <c:strRef>
              <c:f>Annotations!$G$1</c:f>
            </c:strRef>
          </c:tx>
          <c:spPr>
            <a:ln cmpd="sng" w="19050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Annuel!$B$22:$B$48</c:f>
            </c:strRef>
          </c:cat>
          <c:val>
            <c:numRef>
              <c:f>Annotations!$G$2:$G$23</c:f>
              <c:numCache/>
            </c:numRef>
          </c:val>
          <c:smooth val="0"/>
        </c:ser>
        <c:ser>
          <c:idx val="2"/>
          <c:order val="2"/>
          <c:tx>
            <c:strRef>
              <c:f>Annuel!$D$21</c:f>
            </c:strRef>
          </c:tx>
          <c:spPr>
            <a:ln cmpd="sng" w="19050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Annuel!$B$22:$B$48</c:f>
            </c:strRef>
          </c:cat>
          <c:val>
            <c:numRef>
              <c:f>Annuel!$D$22:$D$48</c:f>
              <c:numCache/>
            </c:numRef>
          </c:val>
          <c:smooth val="0"/>
        </c:ser>
        <c:axId val="1250543608"/>
        <c:axId val="217593123"/>
      </c:lineChart>
      <c:catAx>
        <c:axId val="1250543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sz="1200">
                <a:solidFill>
                  <a:srgbClr val="222222"/>
                </a:solidFill>
                <a:latin typeface="Roboto"/>
              </a:defRPr>
            </a:pPr>
          </a:p>
        </c:txPr>
        <c:crossAx val="217593123"/>
      </c:catAx>
      <c:valAx>
        <c:axId val="217593123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Roboto"/>
              </a:defRPr>
            </a:pPr>
          </a:p>
        </c:txPr>
        <c:crossAx val="1250543608"/>
        <c:majorUnit val="5.0"/>
        <c:minorUnit val="2.5"/>
      </c:valAx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058025" cy="355282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5" width="23.13"/>
    <col customWidth="1" min="6" max="6" width="2.75"/>
  </cols>
  <sheetData>
    <row r="1">
      <c r="B1" s="1"/>
    </row>
    <row r="2">
      <c r="B2" s="1"/>
    </row>
    <row r="3">
      <c r="B3" s="1"/>
    </row>
    <row r="4">
      <c r="B4" s="1"/>
    </row>
    <row r="5">
      <c r="B5" s="1"/>
    </row>
    <row r="6">
      <c r="B6" s="1"/>
    </row>
    <row r="7">
      <c r="B7" s="1"/>
    </row>
    <row r="8">
      <c r="B8" s="1"/>
    </row>
    <row r="9">
      <c r="B9" s="1"/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A21" s="2"/>
      <c r="B21" s="3" t="s">
        <v>0</v>
      </c>
      <c r="C21" s="4" t="s">
        <v>1</v>
      </c>
      <c r="D21" s="4" t="s">
        <v>2</v>
      </c>
      <c r="E21" s="4" t="s">
        <v>3</v>
      </c>
      <c r="F21" s="5"/>
    </row>
    <row r="22">
      <c r="A22" s="6"/>
      <c r="B22" s="7" t="s">
        <v>4</v>
      </c>
      <c r="C22" s="8">
        <v>25.5</v>
      </c>
      <c r="D22" s="8">
        <v>24.8</v>
      </c>
      <c r="E22" s="8">
        <v>49.7</v>
      </c>
      <c r="F22" s="9"/>
    </row>
    <row r="23">
      <c r="A23" s="6"/>
      <c r="B23" s="7" t="s">
        <v>5</v>
      </c>
      <c r="C23" s="8">
        <v>26.3</v>
      </c>
      <c r="D23" s="8">
        <v>24.2</v>
      </c>
      <c r="E23" s="8">
        <v>49.4</v>
      </c>
      <c r="F23" s="9"/>
    </row>
    <row r="24">
      <c r="A24" s="6"/>
      <c r="B24" s="7" t="s">
        <v>6</v>
      </c>
      <c r="C24" s="8">
        <v>27.8</v>
      </c>
      <c r="D24" s="8">
        <v>23.8</v>
      </c>
      <c r="E24" s="8">
        <v>48.3</v>
      </c>
      <c r="F24" s="9"/>
    </row>
    <row r="25">
      <c r="A25" s="6"/>
      <c r="B25" s="7" t="s">
        <v>7</v>
      </c>
      <c r="C25" s="8">
        <v>29.3</v>
      </c>
      <c r="D25" s="8">
        <v>23.2</v>
      </c>
      <c r="E25" s="8">
        <v>47.4</v>
      </c>
      <c r="F25" s="9"/>
    </row>
    <row r="26">
      <c r="A26" s="6"/>
      <c r="B26" s="7" t="s">
        <v>8</v>
      </c>
      <c r="C26" s="8">
        <v>31.2</v>
      </c>
      <c r="D26" s="8">
        <v>22.9</v>
      </c>
      <c r="E26" s="8">
        <v>45.8</v>
      </c>
      <c r="F26" s="9"/>
    </row>
    <row r="27">
      <c r="A27" s="6"/>
      <c r="B27" s="7" t="s">
        <v>9</v>
      </c>
      <c r="C27" s="8">
        <v>31.3</v>
      </c>
      <c r="D27" s="8">
        <v>22.9</v>
      </c>
      <c r="E27" s="8">
        <v>45.7</v>
      </c>
      <c r="F27" s="9"/>
    </row>
    <row r="28">
      <c r="A28" s="6"/>
      <c r="B28" s="7" t="s">
        <v>10</v>
      </c>
      <c r="C28" s="8">
        <v>32.5</v>
      </c>
      <c r="D28" s="8">
        <v>22.5</v>
      </c>
      <c r="E28" s="8">
        <v>44.9</v>
      </c>
      <c r="F28" s="9"/>
    </row>
    <row r="29">
      <c r="A29" s="6"/>
      <c r="B29" s="7" t="s">
        <v>11</v>
      </c>
      <c r="C29" s="8">
        <v>34.4</v>
      </c>
      <c r="D29" s="8">
        <v>22.4</v>
      </c>
      <c r="E29" s="8">
        <v>43.1</v>
      </c>
      <c r="F29" s="9"/>
    </row>
    <row r="30">
      <c r="A30" s="6"/>
      <c r="B30" s="7" t="s">
        <v>12</v>
      </c>
      <c r="C30" s="8">
        <v>35.1</v>
      </c>
      <c r="D30" s="8">
        <v>22.5</v>
      </c>
      <c r="E30" s="8">
        <v>42.2</v>
      </c>
      <c r="F30" s="9"/>
    </row>
    <row r="31">
      <c r="A31" s="6"/>
      <c r="B31" s="10" t="s">
        <v>13</v>
      </c>
      <c r="C31" s="11">
        <v>38.0</v>
      </c>
      <c r="D31" s="11">
        <v>21.1</v>
      </c>
      <c r="E31" s="11">
        <v>40.8</v>
      </c>
      <c r="F31" s="9"/>
    </row>
    <row r="32">
      <c r="A32" s="6"/>
      <c r="B32" s="12" t="s">
        <v>14</v>
      </c>
      <c r="C32" s="13">
        <v>39.0</v>
      </c>
      <c r="D32" s="13">
        <v>20.5</v>
      </c>
      <c r="E32" s="13">
        <v>40.3</v>
      </c>
      <c r="F32" s="9"/>
    </row>
    <row r="33">
      <c r="A33" s="6"/>
      <c r="B33" s="12" t="s">
        <v>15</v>
      </c>
      <c r="C33" s="13">
        <v>39.39406549558206</v>
      </c>
      <c r="D33" s="13">
        <v>20.320907103826162</v>
      </c>
      <c r="E33" s="13">
        <v>40.2</v>
      </c>
      <c r="F33" s="9"/>
    </row>
    <row r="34">
      <c r="A34" s="6"/>
      <c r="B34" s="12" t="s">
        <v>16</v>
      </c>
      <c r="C34" s="13">
        <v>39.40696173515565</v>
      </c>
      <c r="D34" s="13">
        <v>20.782471528009214</v>
      </c>
      <c r="E34" s="13">
        <v>39.691054299647014</v>
      </c>
      <c r="F34" s="9"/>
    </row>
    <row r="35">
      <c r="A35" s="6"/>
      <c r="B35" s="12" t="s">
        <v>17</v>
      </c>
      <c r="C35" s="13">
        <v>39.19656366588735</v>
      </c>
      <c r="D35" s="13">
        <v>21.37276398665221</v>
      </c>
      <c r="E35" s="13">
        <v>39.30955540377087</v>
      </c>
      <c r="F35" s="9"/>
    </row>
    <row r="36">
      <c r="A36" s="6"/>
      <c r="B36" s="12" t="s">
        <v>18</v>
      </c>
      <c r="C36" s="13">
        <v>39.764361201811155</v>
      </c>
      <c r="D36" s="13">
        <v>21.837381254041063</v>
      </c>
      <c r="E36" s="13">
        <v>38.25581234915154</v>
      </c>
      <c r="F36" s="9"/>
    </row>
    <row r="37">
      <c r="A37" s="6"/>
      <c r="B37" s="12" t="s">
        <v>19</v>
      </c>
      <c r="C37" s="13">
        <v>40.25172386782647</v>
      </c>
      <c r="D37" s="13">
        <v>22.072822212749966</v>
      </c>
      <c r="E37" s="13">
        <v>37.53921682170144</v>
      </c>
      <c r="F37" s="9"/>
    </row>
    <row r="38">
      <c r="A38" s="6"/>
      <c r="B38" s="12" t="s">
        <v>20</v>
      </c>
      <c r="C38" s="13">
        <v>40.51846938273463</v>
      </c>
      <c r="D38" s="13">
        <v>21.71579629237451</v>
      </c>
      <c r="E38" s="13">
        <v>37.635556909058415</v>
      </c>
      <c r="F38" s="9"/>
    </row>
    <row r="39">
      <c r="A39" s="6"/>
      <c r="B39" s="12" t="s">
        <v>21</v>
      </c>
      <c r="C39" s="13">
        <v>40.90765223708233</v>
      </c>
      <c r="D39" s="13">
        <v>21.699434142863886</v>
      </c>
      <c r="E39" s="13">
        <v>37.2132647504186</v>
      </c>
      <c r="F39" s="9"/>
    </row>
    <row r="40">
      <c r="A40" s="6"/>
      <c r="B40" s="12" t="s">
        <v>22</v>
      </c>
      <c r="C40" s="13">
        <v>42.11445042778873</v>
      </c>
      <c r="D40" s="13">
        <v>21.060775245322585</v>
      </c>
      <c r="E40" s="13">
        <v>36.68831191431318</v>
      </c>
      <c r="F40" s="9"/>
    </row>
    <row r="41">
      <c r="A41" s="6"/>
      <c r="B41" s="12" t="s">
        <v>23</v>
      </c>
      <c r="C41" s="13">
        <v>43.346745599798865</v>
      </c>
      <c r="D41" s="13">
        <v>20.29004017837717</v>
      </c>
      <c r="E41" s="13">
        <v>36.25127521624283</v>
      </c>
      <c r="F41" s="9"/>
    </row>
    <row r="42">
      <c r="A42" s="6"/>
      <c r="B42" s="12" t="s">
        <v>24</v>
      </c>
      <c r="C42" s="13">
        <v>45.20385278391234</v>
      </c>
      <c r="D42" s="13">
        <v>19.58761955041576</v>
      </c>
      <c r="E42" s="13">
        <v>35.142989998702745</v>
      </c>
      <c r="F42" s="9"/>
    </row>
    <row r="43">
      <c r="A43" s="6"/>
      <c r="B43" s="12" t="s">
        <v>25</v>
      </c>
      <c r="C43" s="13">
        <v>45.68695401980486</v>
      </c>
      <c r="D43" s="13">
        <v>19.54243577389356</v>
      </c>
      <c r="E43" s="13">
        <v>34.698084955736334</v>
      </c>
      <c r="F43" s="9"/>
    </row>
    <row r="44">
      <c r="A44" s="6"/>
      <c r="B44" s="12" t="s">
        <v>26</v>
      </c>
      <c r="C44" s="13">
        <v>45.6661104796334</v>
      </c>
      <c r="D44" s="13">
        <v>19.617637558375424</v>
      </c>
      <c r="E44" s="13">
        <v>34.64215218271123</v>
      </c>
      <c r="F44" s="9"/>
    </row>
    <row r="45">
      <c r="A45" s="6"/>
      <c r="B45" s="12" t="s">
        <v>27</v>
      </c>
      <c r="C45" s="13">
        <v>44.43989986015864</v>
      </c>
      <c r="D45" s="13">
        <v>20.02662544254204</v>
      </c>
      <c r="E45" s="13">
        <v>35.489590596672976</v>
      </c>
      <c r="F45" s="9"/>
    </row>
    <row r="46">
      <c r="A46" s="6"/>
      <c r="B46" s="12" t="s">
        <v>28</v>
      </c>
      <c r="C46" s="13">
        <v>44.58765917929478</v>
      </c>
      <c r="D46" s="13">
        <v>19.428385623156487</v>
      </c>
      <c r="E46" s="13">
        <v>35.931427704465264</v>
      </c>
      <c r="F46" s="9"/>
    </row>
    <row r="47">
      <c r="A47" s="6"/>
      <c r="B47" s="12" t="s">
        <v>29</v>
      </c>
      <c r="C47" s="13">
        <v>45.853001573911484</v>
      </c>
      <c r="D47" s="13">
        <v>19.36150816922358</v>
      </c>
      <c r="E47" s="13">
        <v>34.67748381740637</v>
      </c>
      <c r="F47" s="9"/>
    </row>
    <row r="48">
      <c r="A48" s="6"/>
      <c r="B48" s="12" t="s">
        <v>30</v>
      </c>
      <c r="C48" s="13">
        <v>46.16337761442687</v>
      </c>
      <c r="D48" s="13">
        <v>20.309907510264566</v>
      </c>
      <c r="E48" s="13">
        <v>33.350026264983214</v>
      </c>
      <c r="F48" s="9"/>
    </row>
    <row r="49">
      <c r="A49" s="14"/>
      <c r="B49" s="15" t="s">
        <v>31</v>
      </c>
      <c r="C49" s="16"/>
      <c r="D49" s="16"/>
      <c r="E49" s="17"/>
      <c r="F49" s="18"/>
    </row>
  </sheetData>
  <mergeCells count="1">
    <mergeCell ref="B49:E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32</v>
      </c>
      <c r="B1" s="19" t="s">
        <v>33</v>
      </c>
      <c r="C1" s="19" t="s">
        <v>34</v>
      </c>
      <c r="D1" s="20" t="s">
        <v>35</v>
      </c>
      <c r="E1" s="21"/>
      <c r="F1" s="22" t="s">
        <v>36</v>
      </c>
      <c r="G1" s="19" t="s">
        <v>33</v>
      </c>
      <c r="H1" s="19" t="s">
        <v>34</v>
      </c>
      <c r="I1" s="19" t="s">
        <v>35</v>
      </c>
    </row>
    <row r="2">
      <c r="A2" s="23" t="str">
        <f>IFERROR(__xludf.DUMMYFUNCTION("to_text(INDIRECT(""Trimestriel!B22""))"),"2025T4")</f>
        <v>2025T4</v>
      </c>
      <c r="B2" s="24" t="str">
        <f>IFERROR(__xludf.DUMMYFUNCTION("to_text(INDIRECT(""Trimestriel!C22""))"),"26,6")</f>
        <v>26,6</v>
      </c>
      <c r="C2" s="24" t="str">
        <f>IFERROR(__xludf.DUMMYFUNCTION("to_text(INDIRECT(""Trimestriel!D22""))"),"24,4")</f>
        <v>24,4</v>
      </c>
      <c r="D2" s="25" t="str">
        <f>IFERROR(__xludf.DUMMYFUNCTION("to_text(INDIRECT(""Trimestriel!E22""))"),"49,0")</f>
        <v>49,0</v>
      </c>
      <c r="E2" s="26"/>
      <c r="F2" s="23" t="str">
        <f>IFERROR(__xludf.DUMMYFUNCTION("to_text(INDIRECT(""Annuel!B22""))"),"2025")</f>
        <v>2025</v>
      </c>
      <c r="G2" s="24" t="str">
        <f>IFERROR(__xludf.DUMMYFUNCTION("to_text(INDIRECT(""Annuel!C22""))"),"25,5")</f>
        <v>25,5</v>
      </c>
      <c r="H2" s="24" t="str">
        <f>IFERROR(__xludf.DUMMYFUNCTION("to_text(INDIRECT(""Annuel!D22""))"),"24,8")</f>
        <v>24,8</v>
      </c>
      <c r="I2" s="24" t="str">
        <f>IFERROR(__xludf.DUMMYFUNCTION("to_text(INDIRECT(""Annuel!E22""))"),"49,7")</f>
        <v>49,7</v>
      </c>
    </row>
  </sheetData>
  <drawing r:id="rId1"/>
</worksheet>
</file>